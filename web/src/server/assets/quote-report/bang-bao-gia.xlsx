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Xpander Eco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8" authorId="0">
      <text>
        <r>
          <rPr>
            <family val="2"/>
            <sz val="10"/>
            <rFont val="Arial"/>
          </rPr>
          <t>Giá trị mẫu: 2026</t>
        </r>
      </text>
    </comment>
    <comment ref="B9" authorId="0">
      <text>
        <r>
          <rPr>
            <family val="2"/>
            <sz val="10"/>
            <rFont val="Arial"/>
          </rPr>
          <t>Giá trị mẫu: 598000000.0</t>
        </r>
      </text>
    </comment>
    <comment ref="G9" authorId="0">
      <text>
        <r>
          <rPr>
            <family val="2"/>
            <sz val="10"/>
            <rFont val="Arial"/>
          </rPr>
          <t>Giá trị mẫu: Nâu</t>
        </r>
      </text>
    </comment>
    <comment ref="B10" authorId="0">
      <text>
        <r>
          <rPr>
            <family val="2"/>
            <sz val="10"/>
            <rFont val="Arial"/>
          </rPr>
          <t>Giá trị mẫu: 95000000.0</t>
        </r>
      </text>
    </comment>
    <comment ref="B13" authorId="0">
      <text>
        <r>
          <rPr>
            <family val="2"/>
            <sz val="10"/>
            <rFont val="Arial"/>
          </rPr>
          <t>Giá trị mẫu: 59800000.0</t>
        </r>
      </text>
    </comment>
    <comment ref="D13" authorId="0">
      <text>
        <r>
          <rPr>
            <family val="2"/>
            <sz val="10"/>
            <rFont val="Arial"/>
          </rPr>
          <t>Giá trị mẫu: Bao tay lái</t>
        </r>
      </text>
    </comment>
    <comment ref="F13" authorId="0">
      <text>
        <r>
          <rPr>
            <family val="2"/>
            <sz val="10"/>
            <rFont val="Arial"/>
          </rPr>
          <t xml:space="preserve">Giá trị mẫu: Phim cách nhiệt </t>
        </r>
      </text>
    </comment>
    <comment ref="B14" authorId="0">
      <text>
        <r>
          <rPr>
            <family val="2"/>
            <sz val="10"/>
            <rFont val="Arial"/>
          </rPr>
          <t>Giá trị mẫu: 140000.0</t>
        </r>
      </text>
    </comment>
    <comment ref="D14" authorId="0">
      <text>
        <r>
          <rPr>
            <family val="2"/>
            <sz val="10"/>
            <rFont val="Arial"/>
          </rPr>
          <t>Giá trị mẫu: 02 gối đầu</t>
        </r>
      </text>
    </comment>
    <comment ref="F14" authorId="0">
      <text>
        <r>
          <rPr>
            <family val="2"/>
            <sz val="10"/>
            <rFont val="Arial"/>
          </rPr>
          <t>Giá trị mẫu: Thảm lót sàn</t>
        </r>
      </text>
    </comment>
    <comment ref="B15" authorId="0">
      <text>
        <r>
          <rPr>
            <family val="2"/>
            <sz val="10"/>
            <rFont val="Arial"/>
          </rPr>
          <t>Giá trị mẫu: 140000.0</t>
        </r>
      </text>
    </comment>
    <comment ref="D15" authorId="0">
      <text>
        <r>
          <rPr>
            <family val="2"/>
            <sz val="10"/>
            <rFont val="Arial"/>
          </rPr>
          <t>Giá trị mẫu: Ví da đựng hồ sơ</t>
        </r>
      </text>
    </comment>
    <comment ref="F15" authorId="0">
      <text>
        <r>
          <rPr>
            <family val="2"/>
            <sz val="10"/>
            <rFont val="Arial"/>
          </rPr>
          <t xml:space="preserve">Giá trị mẫu: Cam hành trình </t>
        </r>
      </text>
    </comment>
    <comment ref="B16" authorId="0">
      <text>
        <r>
          <rPr>
            <family val="2"/>
            <sz val="10"/>
            <rFont val="Arial"/>
          </rPr>
          <t>Giá trị mẫu: 1203000.0</t>
        </r>
      </text>
    </comment>
    <comment ref="F16" authorId="0">
      <text>
        <r>
          <rPr>
            <family val="2"/>
            <sz val="10"/>
            <rFont val="Arial"/>
          </rPr>
          <t xml:space="preserve">Giá trị mẫu: Taplo Nhung </t>
        </r>
      </text>
    </comment>
    <comment ref="B17" authorId="0">
      <text>
        <r>
          <rPr>
            <family val="2"/>
            <sz val="10"/>
            <rFont val="Arial"/>
          </rPr>
          <t>Giá trị mẫu: 2160000.0</t>
        </r>
      </text>
    </comment>
    <comment ref="D17" authorId="0">
      <text>
        <r>
          <rPr>
            <family val="2"/>
            <sz val="10"/>
            <rFont val="Arial"/>
          </rPr>
          <t>Giá trị mẫu: Tapplo mhung Xpander</t>
        </r>
      </text>
    </comment>
    <comment ref="B20" authorId="0">
      <text>
        <r>
          <rPr>
            <family val="2"/>
            <sz val="10"/>
            <rFont val="Arial"/>
          </rPr>
          <t>Giá trị mẫu: 5000000.0</t>
        </r>
      </text>
    </comment>
    <comment ref="B26" authorId="0">
      <text>
        <r>
          <rPr>
            <family val="2"/>
            <sz val="10"/>
            <rFont val="Arial"/>
          </rPr>
          <t>Giá trị mẫu: 20000000.0</t>
        </r>
      </text>
    </comment>
    <comment ref="F27" authorId="0">
      <text>
        <r>
          <rPr>
            <family val="2"/>
            <sz val="10"/>
            <rFont val="Arial"/>
          </rPr>
          <t>Giá trị mẫu: 495000000.0</t>
        </r>
      </text>
    </comment>
    <comment ref="E34" authorId="0">
      <text>
        <r>
          <rPr>
            <family val="2"/>
            <sz val="10"/>
            <rFont val="Arial"/>
          </rPr>
          <t>Giá trị mẫu: 5 Năm</t>
        </r>
      </text>
    </comment>
    <comment ref="F34" authorId="0">
      <text>
        <r>
          <rPr>
            <family val="2"/>
            <sz val="10"/>
            <rFont val="Arial"/>
          </rPr>
          <t>Giá trị mẫu: 60.0</t>
        </r>
      </text>
    </comment>
    <comment ref="E35" authorId="0">
      <text>
        <r>
          <rPr>
            <family val="2"/>
            <sz val="10"/>
            <rFont val="Arial"/>
          </rPr>
          <t>Giá trị mẫu: 0.165</t>
        </r>
      </text>
    </comment>
  </commentList>
</comments>
</file>

<file path=xl/sharedStrings.xml><?xml version="1.0" encoding="utf-8"?>
<sst xmlns="http://schemas.openxmlformats.org/spreadsheetml/2006/main" count="79" uniqueCount="74">
  <si>
    <t>BẢNG BÁO GIÁ CHI TIẾT</t>
  </si>
  <si>
    <t>Khách hàng: {{TEN_KHACH_HANG}}</t>
  </si>
  <si>
    <t>Địa chỉ: {{DIA_CHI_KHACH_HANG}}</t>
  </si>
  <si>
    <t>TVBH: {{TEN_TVBH}}</t>
  </si>
  <si>
    <t>SĐT: {{SDT_TVBH}}</t>
  </si>
  <si>
    <t>Loại xe:</t>
  </si>
  <si>
    <t>Xpander Eco</t>
  </si>
  <si>
    <t>Đời xe: {{DOI_XE}}</t>
  </si>
  <si>
    <t>Giá niêm yết:</t>
  </si>
  <si>
    <t>{{GIA_NIEM_YET}}</t>
  </si>
  <si>
    <t>TG giao xe:</t>
  </si>
  <si>
    <t>Màu xe</t>
  </si>
  <si>
    <t>{{MAU_XE}}</t>
  </si>
  <si>
    <t>Giảm giá:</t>
  </si>
  <si>
    <t>{{GIAM_GIA}}</t>
  </si>
  <si>
    <t>Hiệu lực báo giá áp dụng trong tháng</t>
  </si>
  <si>
    <t>Giá Bán:</t>
  </si>
  <si>
    <t>ĐVT: VNĐ</t>
  </si>
  <si>
    <t>Tạm tính chi phí</t>
  </si>
  <si>
    <t>Quà Tặng</t>
  </si>
  <si>
    <t>Thuế trước bạ (tạm tính)</t>
  </si>
  <si>
    <t>{{THUE_TRUOC_BA}}</t>
  </si>
  <si>
    <t>{{QUA_TANG_1}}</t>
  </si>
  <si>
    <t>{{QUA_TANG_2}}</t>
  </si>
  <si>
    <t>Phí bấm biển số</t>
  </si>
  <si>
    <t>{{PHI_BAM_BIEN_SO}}</t>
  </si>
  <si>
    <t>{{QUA_TANG_3}}</t>
  </si>
  <si>
    <t>{{QUA_TANG_4}}</t>
  </si>
  <si>
    <t>Lệ phí đăng kiểm</t>
  </si>
  <si>
    <t>{{LE_PHI_DANG_KIEM}}</t>
  </si>
  <si>
    <t>{{QUA_TANG_5}}</t>
  </si>
  <si>
    <t>{{QUA_TANG_6}}</t>
  </si>
  <si>
    <t>Bảo hiểm TNDS + Người ngồi xe (1 năm)</t>
  </si>
  <si>
    <t>{{BH_TNDS}}</t>
  </si>
  <si>
    <t>{{QUA_TANG_7}}</t>
  </si>
  <si>
    <t>{{QUA_TANG_8}}</t>
  </si>
  <si>
    <t>Phí sử dụng đường bộ (1 năm)</t>
  </si>
  <si>
    <t>{{PHI_DUONG_BO}}</t>
  </si>
  <si>
    <t/>
  </si>
  <si>
    <t>Bảo hiểm thân vỏ ( 1.3%)</t>
  </si>
  <si>
    <t xml:space="preserve">BẢO HIỂM THÂN VỎ XE
</t>
  </si>
  <si>
    <t xml:space="preserve">TẶNG </t>
  </si>
  <si>
    <t>CHI PHÍ PHÁT SINH THÊM</t>
  </si>
  <si>
    <t>Phí dịch vụ đăng ký xe ( KD BIỂN VÀNG)</t>
  </si>
  <si>
    <t>{{PHI_DICH_VU_DANG_KY}}</t>
  </si>
  <si>
    <t>Phụ kiện trang bị thêm (Nếu có)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</si>
  <si>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</si>
  <si>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Tổng Chi Phí Đăng ký xe</t>
  </si>
  <si>
    <t>Hộp đen (nếu có)</t>
  </si>
  <si>
    <t>TỔNG LĂNG BÁNH</t>
  </si>
  <si>
    <t>TỔNG CP PHÁT SINH</t>
  </si>
  <si>
    <t>PHƯƠNG ÁN: MUA TIỀN MẶT</t>
  </si>
  <si>
    <t>PHƯƠNG ÁN: MUA VAY NGÂN HÀNG</t>
  </si>
  <si>
    <t>Tiền cọc:</t>
  </si>
  <si>
    <t>{{TIEN_COC_TM}}</t>
  </si>
  <si>
    <t xml:space="preserve">GIÁ XE </t>
  </si>
  <si>
    <t>Chi Phí Phát sinh thêm (Nếu có)</t>
  </si>
  <si>
    <t>Số tiền vay</t>
  </si>
  <si>
    <t>{{SO_TIEN_VAY_NH}}</t>
  </si>
  <si>
    <t>VAT (10%)</t>
  </si>
  <si>
    <t>THANH TOÁN LẦN 2</t>
  </si>
  <si>
    <t xml:space="preserve">BHTV </t>
  </si>
  <si>
    <t xml:space="preserve">CÁC MÀU XE </t>
  </si>
  <si>
    <t>PHƯƠNG ÁN TRẢ HÀNG THÁNG</t>
  </si>
  <si>
    <t>Thời gian vay:</t>
  </si>
  <si>
    <t>{{THOI_GIAN_VAY}}</t>
  </si>
  <si>
    <t>{{SO_THANG_VAY}}</t>
  </si>
  <si>
    <t>Tiền gốc tháng:</t>
  </si>
  <si>
    <t>{{LAI_SUAT_NAM}}</t>
  </si>
  <si>
    <t>Thanh toán tháng</t>
  </si>
  <si>
    <t xml:space="preserve">Quý khách đặt cọc và ký hợp đồng chúng tôi sẽ tiến hành thẩm
 định và làm hồ sơ ngân hàng, trường hợp ngân hàng không đồng ý cho vay, chúng tôi sẽ hoàn lại 100% tiền cọc</t>
  </si>
  <si>
    <t>* Chính sách bảo hành: 3 năm/100.000km tùy theo điều kiện nào đến trước</t>
  </si>
  <si>
    <t>XÁC NHẬN TVBH</t>
  </si>
  <si>
    <t>XÁC NHẬN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</si>
</sst>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_-* #,##0_-;-* #,##0_-;_-* -_-;_-@"/>
  </numFmts>
  <fonts count="13" x14ac:knownFonts="1">
    <font>
      <color theme="1"/>
      <family val="2"/>
      <scheme val="minor"/>
      <sz val="11"/>
      <name val="Calibri"/>
    </font>
    <font>
      <sz val="14"/>
      <name val="Times New Roman"/>
    </font>
    <font>
      <b/>
      <sz val="18"/>
      <name val="Times New Roman"/>
    </font>
    <font>
      <b/>
      <sz val="14"/>
      <name val="Times New Roman"/>
    </font>
    <font>
      <b/>
      <charset val="1"/>
      <color theme="1"/>
      <sz val="14"/>
      <name val="Times New Roman"/>
    </font>
    <font>
      <b/>
      <charset val="1"/>
      <color rgb="FFFF0000"/>
      <sz val="14"/>
      <name val="Times New Roman"/>
    </font>
    <font>
      <charset val="1"/>
      <color theme="1"/>
      <sz val="13"/>
      <name val="Times New Roman"/>
    </font>
    <font>
      <charset val="1"/>
      <color rgb="FFFF0000"/>
      <sz val="14"/>
      <name val="Times New Roman"/>
    </font>
    <font>
      <b/>
      <charset val="1"/>
      <color rgb="FF002060"/>
      <sz val="14"/>
      <name val="Times New Roman"/>
    </font>
    <font>
      <charset val="1"/>
      <color theme="1"/>
      <sz val="14"/>
      <name val="Times New Roman"/>
    </font>
    <font>
      <i/>
      <charset val="1"/>
      <color theme="1"/>
      <sz val="11"/>
      <name val="Times New Roman"/>
    </font>
    <font>
      <b/>
      <charset val="1"/>
      <color theme="1"/>
      <sz val="13"/>
      <name val="Times New Roman"/>
    </font>
    <font>
      <b/>
      <i/>
      <charset val="1"/>
      <color theme="1"/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CFFCC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bottom" wrapText="1"/>
    </xf>
    <xf numFmtId="0" fontId="4" fillId="0" borderId="1" xfId="0" applyFont="1" applyBorder="1" applyAlignment="1">
      <alignment vertical="bottom"/>
    </xf>
    <xf numFmtId="0" fontId="4" fillId="2" borderId="1" xfId="0" applyFont="1" applyFill="1" applyBorder="1" applyAlignment="1">
      <alignment vertical="bottom"/>
    </xf>
    <xf numFmtId="0" fontId="1" fillId="0" borderId="1" xfId="0" applyFont="1" applyBorder="1"/>
    <xf numFmtId="164" fontId="5" fillId="0" borderId="1" xfId="0" applyNumberFormat="1" applyFont="1" applyBorder="1" applyAlignment="1">
      <alignment horizontal="left" vertical="bottom"/>
    </xf>
    <xf numFmtId="3" fontId="4" fillId="0" borderId="1" xfId="0" applyNumberFormat="1" applyFont="1" applyBorder="1" applyAlignment="1">
      <alignment vertical="bottom"/>
    </xf>
    <xf numFmtId="0" fontId="6" fillId="0" borderId="0" xfId="0" applyFont="1" applyAlignment="1">
      <alignment vertical="bottom"/>
    </xf>
    <xf numFmtId="0" fontId="4" fillId="0" borderId="1" xfId="0" applyFont="1" applyBorder="1" applyAlignment="1">
      <alignment horizontal="center" vertical="bottom"/>
    </xf>
    <xf numFmtId="3" fontId="7" fillId="0" borderId="1" xfId="0" applyNumberFormat="1" applyFont="1" applyBorder="1" applyAlignment="1">
      <alignment vertical="bottom"/>
    </xf>
    <xf numFmtId="0" fontId="8" fillId="0" borderId="1" xfId="0" applyFont="1" applyBorder="1" applyAlignment="1">
      <alignment horizontal="left" vertical="bottom"/>
    </xf>
    <xf numFmtId="3" fontId="9" fillId="0" borderId="1" xfId="0" applyNumberFormat="1" applyFont="1" applyBorder="1" applyAlignment="1">
      <alignment vertical="bottom"/>
    </xf>
    <xf numFmtId="0" fontId="9" fillId="0" borderId="1" xfId="0" applyFont="1" applyBorder="1" applyAlignment="1">
      <alignment horizontal="left" vertical="bottom"/>
    </xf>
    <xf numFmtId="0" fontId="4" fillId="2" borderId="1" xfId="0" applyFont="1" applyFill="1" applyBorder="1" applyAlignment="1">
      <alignment horizontal="center" vertical="bottom"/>
    </xf>
    <xf numFmtId="0" fontId="5" fillId="2" borderId="1" xfId="0" applyFont="1" applyFill="1" applyBorder="1" applyAlignment="1">
      <alignment horizontal="center" vertical="bottom"/>
    </xf>
    <xf numFmtId="0" fontId="9" fillId="0" borderId="1" xfId="0" applyFont="1" applyBorder="1" applyAlignment="1">
      <alignment vertical="bottom"/>
    </xf>
    <xf numFmtId="0" fontId="1" fillId="0" borderId="1" xfId="0" applyFont="1" applyBorder="1" applyAlignment="1">
      <alignment horizontal="left" vertical="bottom"/>
    </xf>
    <xf numFmtId="0" fontId="10" fillId="0" borderId="0" xfId="0" applyFont="1" applyAlignment="1">
      <alignment vertical="bottom"/>
    </xf>
    <xf numFmtId="0" fontId="5" fillId="0" borderId="1" xfId="0" applyFont="1" applyBorder="1" applyAlignment="1">
      <alignment vertical="bottom"/>
    </xf>
    <xf numFmtId="3" fontId="5" fillId="0" borderId="1" xfId="0" applyNumberFormat="1" applyFont="1" applyBorder="1" applyAlignment="1">
      <alignment horizontal="right" vertical="bottom"/>
    </xf>
    <xf numFmtId="0" fontId="7" fillId="0" borderId="1" xfId="0" applyFont="1" applyBorder="1" applyAlignment="1">
      <alignment vertical="bottom" wrapText="1"/>
    </xf>
    <xf numFmtId="165" fontId="5" fillId="0" borderId="1" xfId="0" applyNumberFormat="1" applyFont="1" applyBorder="1" applyAlignment="1">
      <alignment horizontal="right" vertical="bottom"/>
    </xf>
    <xf numFmtId="0" fontId="9" fillId="0" borderId="1" xfId="0" applyFont="1" applyBorder="1" applyAlignment="1">
      <alignment horizontal="right" vertical="bottom"/>
    </xf>
    <xf numFmtId="0" fontId="5" fillId="0" borderId="1" xfId="0" applyFont="1" applyBorder="1" applyAlignment="1">
      <alignment horizontal="center" vertical="bottom"/>
    </xf>
    <xf numFmtId="3" fontId="5" fillId="0" borderId="1" xfId="0" applyNumberFormat="1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8" fillId="0" borderId="1" xfId="0" applyFont="1" applyBorder="1" applyAlignment="1">
      <alignment horizontal="right" vertical="bottom"/>
    </xf>
    <xf numFmtId="3" fontId="4" fillId="0" borderId="1" xfId="0" applyNumberFormat="1" applyFont="1" applyBorder="1" applyAlignment="1">
      <alignment horizontal="right" vertical="bottom"/>
    </xf>
    <xf numFmtId="0" fontId="9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horizontal="right" vertical="bottom"/>
    </xf>
    <xf numFmtId="3" fontId="9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bottom"/>
    </xf>
    <xf numFmtId="0" fontId="9" fillId="0" borderId="1" xfId="0" applyFont="1" applyBorder="1" applyAlignment="1">
      <alignment horizontal="center" vertical="bottom"/>
    </xf>
    <xf numFmtId="10" fontId="9" fillId="0" borderId="1" xfId="0" applyNumberFormat="1" applyFont="1" applyBorder="1" applyAlignment="1">
      <alignment horizontal="center" vertical="bottom"/>
    </xf>
    <xf numFmtId="3" fontId="11" fillId="0" borderId="1" xfId="0" applyNumberFormat="1" applyFont="1" applyBorder="1" applyAlignment="1">
      <alignment vertical="bottom"/>
    </xf>
    <xf numFmtId="0" fontId="12" fillId="0" borderId="1" xfId="0" applyFont="1" applyBorder="1" applyAlignment="1">
      <alignment horizontal="center" vertical="bottom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657360</xdr:colOff>
      <xdr:row>33</xdr:row>
      <xdr:rowOff>0</xdr:rowOff>
    </xdr:from>
    <xdr:to>
      <xdr:col>0</xdr:col>
      <xdr:colOff>1828440</xdr:colOff>
      <xdr:row>34</xdr:row>
      <xdr:rowOff>285480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2019240</xdr:colOff>
      <xdr:row>33</xdr:row>
      <xdr:rowOff>19080</xdr:rowOff>
    </xdr:from>
    <xdr:to>
      <xdr:col>1</xdr:col>
      <xdr:colOff>850680</xdr:colOff>
      <xdr:row>35</xdr:row>
      <xdr:rowOff>18720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704880</xdr:colOff>
      <xdr:row>35</xdr:row>
      <xdr:rowOff>133200</xdr:rowOff>
    </xdr:from>
    <xdr:to>
      <xdr:col>1</xdr:col>
      <xdr:colOff>831600</xdr:colOff>
      <xdr:row>37</xdr:row>
      <xdr:rowOff>266040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114480</xdr:colOff>
      <xdr:row>0</xdr:row>
      <xdr:rowOff>142920</xdr:rowOff>
    </xdr:from>
    <xdr:to>
      <xdr:col>0</xdr:col>
      <xdr:colOff>1380960</xdr:colOff>
      <xdr:row>4</xdr:row>
      <xdr:rowOff>151920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11.21875"/>
  <cols>
    <col min="1" max="1" width="48" customWidth="1"/>
    <col min="2" max="2" width="24" customWidth="1"/>
    <col min="3" max="3" width="3" customWidth="1"/>
    <col min="4" max="4" width="18" customWidth="1"/>
    <col min="5" max="5" width="20" customWidth="1"/>
    <col min="6" max="6" width="17" customWidth="1"/>
    <col min="7" max="7" width="22" customWidth="1"/>
  </cols>
  <sheetData>
    <row r="1" ht="2" customHeight="1" spans="1:7" x14ac:dyDescent="0.25">
      <c r="A1" s="1"/>
      <c r="B1" s="1"/>
      <c r="C1" s="1"/>
      <c r="D1" s="1"/>
      <c r="E1" s="1"/>
      <c r="F1" s="1"/>
      <c r="G1" s="1"/>
    </row>
    <row r="2" ht="2" customHeight="1" spans="1:7" x14ac:dyDescent="0.25">
      <c r="A2" s="1"/>
      <c r="B2" s="1"/>
      <c r="C2" s="1"/>
      <c r="D2" s="1"/>
      <c r="E2" s="1"/>
      <c r="F2" s="1"/>
      <c r="G2" s="1"/>
    </row>
    <row r="3" ht="15" customHeight="1" spans="1:7" x14ac:dyDescent="0.25">
      <c r="A3" s="2" t="s">
        <v>0</v>
      </c>
      <c r="B3" s="2"/>
      <c r="C3" s="2"/>
      <c r="D3" s="2"/>
      <c r="E3" s="2"/>
      <c r="F3" s="2"/>
      <c r="G3" s="2"/>
    </row>
    <row r="4" ht="15" customHeight="1" spans="1:7" x14ac:dyDescent="0.25">
      <c r="A4" s="2"/>
      <c r="B4" s="2"/>
      <c r="C4" s="2"/>
      <c r="D4" s="2"/>
      <c r="E4" s="2"/>
      <c r="F4" s="2"/>
      <c r="G4" s="2"/>
    </row>
    <row r="5" ht="15" customHeight="1" spans="1:7" x14ac:dyDescent="0.25">
      <c r="A5" s="2"/>
      <c r="B5" s="2"/>
      <c r="C5" s="2"/>
      <c r="D5" s="2"/>
      <c r="E5" s="2"/>
      <c r="F5" s="2"/>
      <c r="G5" s="2"/>
    </row>
    <row r="6" ht="21.75" customHeight="1" spans="1:7" x14ac:dyDescent="0.25">
      <c r="A6" s="3" t="s">
        <v>1</v>
      </c>
      <c r="B6" s="3"/>
      <c r="C6" s="3"/>
      <c r="D6" s="3"/>
      <c r="E6" s="3"/>
      <c r="F6" s="3"/>
      <c r="G6" s="3"/>
    </row>
    <row r="7" ht="21.75" customHeight="1" spans="1:7" x14ac:dyDescent="0.25">
      <c r="A7" s="3" t="s">
        <v>2</v>
      </c>
      <c r="B7" s="3"/>
      <c r="C7" s="3"/>
      <c r="D7" s="3" t="s">
        <v>3</v>
      </c>
      <c r="E7" s="3"/>
      <c r="F7" s="3" t="s">
        <v>4</v>
      </c>
      <c r="G7" s="3"/>
    </row>
    <row r="8" ht="21.75" customHeight="1" spans="1:7" x14ac:dyDescent="0.25">
      <c r="A8" s="4" t="s">
        <v>5</v>
      </c>
      <c r="B8" s="5" t="s">
        <v>6</v>
      </c>
      <c r="C8" s="6"/>
      <c r="D8" s="4" t="s">
        <v>7</v>
      </c>
      <c r="E8" s="6"/>
      <c r="F8" s="7">
        <f>TODAY()</f>
        <v>46260</v>
      </c>
      <c r="G8" s="7"/>
    </row>
    <row r="9" ht="21.75" customHeight="1" spans="1:7" x14ac:dyDescent="0.25">
      <c r="A9" s="4" t="s">
        <v>8</v>
      </c>
      <c r="B9" s="8" t="s">
        <v>9</v>
      </c>
      <c r="C9" s="6"/>
      <c r="D9" s="4" t="s">
        <v>10</v>
      </c>
      <c r="E9" s="9"/>
      <c r="F9" s="4" t="s">
        <v>11</v>
      </c>
      <c r="G9" s="10" t="s">
        <v>12</v>
      </c>
    </row>
    <row r="10" ht="21" customHeight="1" spans="1:7" x14ac:dyDescent="0.25">
      <c r="A10" s="4" t="s">
        <v>13</v>
      </c>
      <c r="B10" s="11" t="s">
        <v>14</v>
      </c>
      <c r="C10" s="6"/>
      <c r="D10" s="12" t="s">
        <v>15</v>
      </c>
      <c r="E10" s="12"/>
      <c r="F10" s="12"/>
      <c r="G10" s="12"/>
    </row>
    <row r="11" ht="21" customHeight="1" spans="1:7" x14ac:dyDescent="0.25">
      <c r="A11" s="4" t="s">
        <v>16</v>
      </c>
      <c r="B11" s="13" t="e">
        <f>B9-B10</f>
        <v>#VALUE!</v>
      </c>
      <c r="C11" s="6"/>
      <c r="D11" s="14" t="s">
        <v>17</v>
      </c>
      <c r="E11" s="14"/>
      <c r="F11" s="14"/>
      <c r="G11" s="14"/>
    </row>
    <row r="12" ht="15" customHeight="1" spans="1:7" x14ac:dyDescent="0.25">
      <c r="A12" s="15" t="s">
        <v>18</v>
      </c>
      <c r="B12" s="15"/>
      <c r="C12" s="6"/>
      <c r="D12" s="16" t="s">
        <v>19</v>
      </c>
      <c r="E12" s="16"/>
      <c r="F12" s="16"/>
      <c r="G12" s="16"/>
    </row>
    <row r="13" ht="21.75" customHeight="1" spans="1:7" x14ac:dyDescent="0.25">
      <c r="A13" s="17" t="s">
        <v>20</v>
      </c>
      <c r="B13" s="13" t="s">
        <v>21</v>
      </c>
      <c r="C13" s="6"/>
      <c r="D13" s="18" t="s">
        <v>22</v>
      </c>
      <c r="E13" s="18"/>
      <c r="F13" s="18" t="s">
        <v>23</v>
      </c>
      <c r="G13" s="18"/>
    </row>
    <row r="14" ht="21.75" customHeight="1" spans="1:7" x14ac:dyDescent="0.25">
      <c r="A14" s="17" t="s">
        <v>24</v>
      </c>
      <c r="B14" s="13" t="s">
        <v>25</v>
      </c>
      <c r="C14" s="6"/>
      <c r="D14" s="18" t="s">
        <v>26</v>
      </c>
      <c r="E14" s="18"/>
      <c r="F14" s="18" t="s">
        <v>27</v>
      </c>
      <c r="G14" s="18"/>
    </row>
    <row r="15" ht="21.75" customHeight="1" spans="1:10" x14ac:dyDescent="0.25">
      <c r="A15" s="17" t="s">
        <v>28</v>
      </c>
      <c r="B15" s="13" t="s">
        <v>29</v>
      </c>
      <c r="C15" s="6"/>
      <c r="D15" s="18" t="s">
        <v>30</v>
      </c>
      <c r="E15" s="18"/>
      <c r="F15" s="18" t="s">
        <v>31</v>
      </c>
      <c r="G15" s="18"/>
      <c r="I15" s="19"/>
      <c r="J15" s="19"/>
    </row>
    <row r="16" ht="21.75" customHeight="1" spans="1:7" x14ac:dyDescent="0.25">
      <c r="A16" s="17" t="s">
        <v>32</v>
      </c>
      <c r="B16" s="13" t="s">
        <v>33</v>
      </c>
      <c r="C16" s="6"/>
      <c r="D16" s="18" t="s">
        <v>34</v>
      </c>
      <c r="E16" s="18"/>
      <c r="F16" s="18" t="s">
        <v>35</v>
      </c>
      <c r="G16" s="18"/>
    </row>
    <row r="17" ht="21" customHeight="1" spans="1:7" x14ac:dyDescent="0.25">
      <c r="A17" s="17" t="s">
        <v>36</v>
      </c>
      <c r="B17" s="13" t="s">
        <v>37</v>
      </c>
      <c r="C17" s="6"/>
      <c r="D17" s="18" t="s">
        <v>38</v>
      </c>
      <c r="E17" s="18"/>
      <c r="F17" s="18" t="s">
        <v>38</v>
      </c>
      <c r="G17" s="18"/>
    </row>
    <row r="18" ht="24" customHeight="1" hidden="1" spans="1:7" x14ac:dyDescent="0.25">
      <c r="A18" s="20" t="s">
        <v>39</v>
      </c>
      <c r="B18" s="21"/>
      <c r="C18" s="6"/>
      <c r="D18" s="18" t="s">
        <v>38</v>
      </c>
      <c r="E18" s="18"/>
      <c r="F18" s="18" t="s">
        <v>38</v>
      </c>
      <c r="G18" s="18"/>
    </row>
    <row r="19" ht="21.75" customHeight="1" spans="1:7" x14ac:dyDescent="0.25">
      <c r="A19" s="22" t="s">
        <v>40</v>
      </c>
      <c r="B19" s="21" t="s">
        <v>41</v>
      </c>
      <c r="C19" s="6"/>
      <c r="D19" s="16" t="s">
        <v>42</v>
      </c>
      <c r="E19" s="16"/>
      <c r="F19" s="16"/>
      <c r="G19" s="16"/>
    </row>
    <row r="20" ht="21" customHeight="1" spans="1:13" x14ac:dyDescent="0.25">
      <c r="A20" s="17" t="s">
        <v>43</v>
      </c>
      <c r="B20" s="13" t="s">
        <v>44</v>
      </c>
      <c r="C20" s="6"/>
      <c r="D20" s="14" t="s">
        <v>45</v>
      </c>
      <c r="E20" s="14"/>
      <c r="F20" s="23"/>
      <c r="G20" s="23"/>
      <c r="M20" s="9" t="s">
        <v>46</v>
      </c>
    </row>
    <row r="21" ht="21" customHeight="1" spans="1:7" x14ac:dyDescent="0.25">
      <c r="A21" s="10" t="s">
        <v>47</v>
      </c>
      <c r="B21" s="8">
        <f>SUM(B13:B20)</f>
        <v>0</v>
      </c>
      <c r="C21" s="6"/>
      <c r="D21" s="18" t="s">
        <v>48</v>
      </c>
      <c r="E21" s="18"/>
      <c r="F21" s="24"/>
      <c r="G21" s="24"/>
    </row>
    <row r="22" ht="2" customHeight="1" hidden="1" spans="1:7" x14ac:dyDescent="0.25">
      <c r="A22" s="25"/>
      <c r="B22" s="26"/>
      <c r="C22" s="6"/>
      <c r="D22" s="27"/>
      <c r="E22" s="27"/>
      <c r="F22" s="24"/>
      <c r="G22" s="24"/>
    </row>
    <row r="23" ht="21" customHeight="1" spans="1:7" x14ac:dyDescent="0.25">
      <c r="A23" s="25" t="s">
        <v>49</v>
      </c>
      <c r="B23" s="26" t="e">
        <f>B11+B21</f>
        <v>#VALUE!</v>
      </c>
      <c r="C23" s="6"/>
      <c r="D23" s="12" t="s">
        <v>50</v>
      </c>
      <c r="E23" s="12"/>
      <c r="F23" s="28"/>
      <c r="G23" s="28"/>
    </row>
    <row r="24" ht="2" customHeight="1" spans="1:7" x14ac:dyDescent="0.25">
      <c r="A24" s="25"/>
      <c r="B24" s="26"/>
      <c r="C24" s="6"/>
      <c r="D24" s="6"/>
      <c r="E24" s="6"/>
      <c r="F24" s="6"/>
      <c r="G24" s="6"/>
    </row>
    <row r="25" ht="21.75" customHeight="1" spans="1:7" x14ac:dyDescent="0.25">
      <c r="A25" s="15" t="s">
        <v>51</v>
      </c>
      <c r="B25" s="15"/>
      <c r="C25" s="6"/>
      <c r="D25" s="15" t="s">
        <v>52</v>
      </c>
      <c r="E25" s="15"/>
      <c r="F25" s="15"/>
      <c r="G25" s="15"/>
    </row>
    <row r="26" ht="21.75" customHeight="1" spans="1:7" x14ac:dyDescent="0.25">
      <c r="A26" s="14" t="s">
        <v>53</v>
      </c>
      <c r="B26" s="8" t="s">
        <v>54</v>
      </c>
      <c r="C26" s="6"/>
      <c r="D26" s="14" t="s">
        <v>55</v>
      </c>
      <c r="E26" s="14"/>
      <c r="F26" s="29" t="e">
        <f>B23</f>
        <v>#VALUE!</v>
      </c>
      <c r="G26" s="29"/>
    </row>
    <row r="27" ht="21.75" customHeight="1" spans="1:7" x14ac:dyDescent="0.25">
      <c r="A27" s="30" t="s">
        <v>56</v>
      </c>
      <c r="B27" s="31"/>
      <c r="C27" s="6"/>
      <c r="D27" s="14" t="s">
        <v>57</v>
      </c>
      <c r="E27" s="14"/>
      <c r="F27" s="32" t="s">
        <v>58</v>
      </c>
      <c r="G27" s="32"/>
    </row>
    <row r="28" ht="21.75" customHeight="1" spans="1:7" x14ac:dyDescent="0.25">
      <c r="A28" s="30"/>
      <c r="B28" s="33"/>
      <c r="C28" s="6"/>
      <c r="D28" s="34" t="s">
        <v>59</v>
      </c>
      <c r="E28" s="34"/>
      <c r="F28" s="32" t="e">
        <f>B10*10%</f>
        <v>#VALUE!</v>
      </c>
      <c r="G28" s="32"/>
    </row>
    <row r="29" ht="16.5" customHeight="1" spans="1:7" x14ac:dyDescent="0.25">
      <c r="A29" s="35" t="s">
        <v>60</v>
      </c>
      <c r="B29" s="36" t="e">
        <f>B23-B26+B27</f>
        <v>#VALUE!</v>
      </c>
      <c r="C29" s="6"/>
      <c r="D29" s="34" t="s">
        <v>61</v>
      </c>
      <c r="E29" s="34"/>
      <c r="F29" s="32" t="e">
        <f>B9*1.3%</f>
        <v>#VALUE!</v>
      </c>
      <c r="G29" s="32"/>
    </row>
    <row r="30" ht="15.75" customHeight="1" spans="1:7" x14ac:dyDescent="0.25">
      <c r="A30" s="35"/>
      <c r="B30" s="36"/>
      <c r="C30" s="6"/>
      <c r="D30" s="12" t="s">
        <v>60</v>
      </c>
      <c r="E30" s="12"/>
      <c r="F30" s="37" t="e">
        <f>F26-F27+F28+F29</f>
        <v>#VALUE!</v>
      </c>
      <c r="G30" s="37"/>
    </row>
    <row r="31" ht="2" customHeight="1" spans="1:7" x14ac:dyDescent="0.25">
      <c r="A31" s="6"/>
      <c r="B31" s="6"/>
      <c r="C31" s="6"/>
      <c r="D31" s="6"/>
      <c r="E31" s="6"/>
      <c r="F31" s="6"/>
      <c r="G31" s="6"/>
    </row>
    <row r="32" ht="2" customHeight="1" spans="1:7" x14ac:dyDescent="0.25">
      <c r="A32" s="6"/>
      <c r="B32" s="6"/>
      <c r="C32" s="6"/>
      <c r="D32" s="6"/>
      <c r="E32" s="6"/>
      <c r="F32" s="6"/>
      <c r="G32" s="6"/>
    </row>
    <row r="33" ht="15" customHeight="1" spans="1:7" x14ac:dyDescent="0.25">
      <c r="A33" s="15" t="s">
        <v>62</v>
      </c>
      <c r="B33" s="15"/>
      <c r="C33" s="6"/>
      <c r="D33" s="15" t="s">
        <v>63</v>
      </c>
      <c r="E33" s="15"/>
      <c r="F33" s="15"/>
      <c r="G33" s="15"/>
    </row>
    <row r="34" ht="24" customHeight="1" spans="1:7" x14ac:dyDescent="0.25">
      <c r="A34" s="38"/>
      <c r="B34" s="38"/>
      <c r="C34" s="6"/>
      <c r="D34" s="17" t="s">
        <v>64</v>
      </c>
      <c r="E34" s="38" t="s">
        <v>65</v>
      </c>
      <c r="F34" s="38" t="s">
        <v>66</v>
      </c>
      <c r="G34" s="13" t="e">
        <f>F27/F34</f>
        <v>#VALUE!</v>
      </c>
    </row>
    <row r="35" ht="22.5" customHeight="1" spans="1:7" x14ac:dyDescent="0.25">
      <c r="A35" s="38"/>
      <c r="B35" s="38"/>
      <c r="C35" s="6"/>
      <c r="D35" s="17" t="s">
        <v>67</v>
      </c>
      <c r="E35" s="39" t="s">
        <v>68</v>
      </c>
      <c r="F35" s="39" t="e">
        <f>E35/12</f>
        <v>#VALUE!</v>
      </c>
      <c r="G35" s="13" t="e">
        <f>F35*F27</f>
        <v>#VALUE!</v>
      </c>
    </row>
    <row r="36" ht="22.5" customHeight="1" spans="1:7" x14ac:dyDescent="0.25">
      <c r="A36" s="38"/>
      <c r="B36" s="38"/>
      <c r="C36" s="6"/>
      <c r="D36" s="10" t="s">
        <v>69</v>
      </c>
      <c r="E36" s="10"/>
      <c r="F36" s="10"/>
      <c r="G36" s="40" t="e">
        <f>G34+G35</f>
        <v>#VALUE!</v>
      </c>
    </row>
    <row r="37" ht="15" customHeight="1" spans="1:7" x14ac:dyDescent="0.25">
      <c r="A37" s="38"/>
      <c r="B37" s="38"/>
      <c r="C37" s="6"/>
      <c r="D37" s="41" t="s">
        <v>70</v>
      </c>
      <c r="E37" s="41"/>
      <c r="F37" s="41"/>
      <c r="G37" s="41"/>
    </row>
    <row r="38" ht="29.25" customHeight="1" spans="1:7" x14ac:dyDescent="0.25">
      <c r="A38" s="38"/>
      <c r="B38" s="38"/>
      <c r="C38" s="6"/>
      <c r="D38" s="41"/>
      <c r="E38" s="41"/>
      <c r="F38" s="41"/>
      <c r="G38" s="41"/>
    </row>
    <row r="39" ht="18.75" customHeight="1" spans="1:7" x14ac:dyDescent="0.25">
      <c r="A39" s="14" t="s">
        <v>71</v>
      </c>
      <c r="B39" s="14"/>
      <c r="C39" s="14"/>
      <c r="D39" s="14"/>
      <c r="E39" s="14"/>
      <c r="F39" s="14"/>
      <c r="G39" s="14"/>
    </row>
    <row r="40" ht="20" customHeight="1" spans="1:7" x14ac:dyDescent="0.25">
      <c r="A40" s="42" t="s">
        <v>72</v>
      </c>
      <c r="B40" s="42"/>
      <c r="C40" s="42"/>
      <c r="D40" s="42" t="s">
        <v>73</v>
      </c>
      <c r="E40" s="42"/>
      <c r="F40" s="42"/>
      <c r="G40" s="42"/>
    </row>
    <row r="41" ht="78" customHeight="1" spans="1:7" x14ac:dyDescent="0.25">
      <c r="A41" s="10" t="s">
        <v>72</v>
      </c>
      <c r="B41" s="10"/>
      <c r="C41" s="6"/>
      <c r="D41" s="6"/>
      <c r="E41" s="6"/>
      <c r="F41" s="6"/>
      <c r="G41" s="6"/>
    </row>
    <row r="42" ht="78" customHeight="1" spans="1:7" x14ac:dyDescent="0.25">
      <c r="A42" s="10"/>
      <c r="B42" s="10"/>
      <c r="C42" s="6"/>
      <c r="D42" s="6"/>
      <c r="E42" s="6"/>
      <c r="F42" s="6"/>
      <c r="G42" s="6"/>
    </row>
  </sheetData>
  <mergeCells count="55">
    <mergeCell ref="A3:G5"/>
    <mergeCell ref="A6:G6"/>
    <mergeCell ref="A7:C7"/>
    <mergeCell ref="D7:E7"/>
    <mergeCell ref="F7:G7"/>
    <mergeCell ref="F8:G8"/>
    <mergeCell ref="D10:G10"/>
    <mergeCell ref="D11:G11"/>
    <mergeCell ref="A12:B12"/>
    <mergeCell ref="D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G19"/>
    <mergeCell ref="D20:E20"/>
    <mergeCell ref="F20:G20"/>
    <mergeCell ref="D21:E21"/>
    <mergeCell ref="F21:G21"/>
    <mergeCell ref="D22:E22"/>
    <mergeCell ref="F22:G22"/>
    <mergeCell ref="D23:E23"/>
    <mergeCell ref="F23:G23"/>
    <mergeCell ref="A25:B25"/>
    <mergeCell ref="D25:G25"/>
    <mergeCell ref="D26:E26"/>
    <mergeCell ref="F26:G26"/>
    <mergeCell ref="D27:E27"/>
    <mergeCell ref="F27:G27"/>
    <mergeCell ref="D28:E28"/>
    <mergeCell ref="F28:G28"/>
    <mergeCell ref="D29:E29"/>
    <mergeCell ref="F29:G29"/>
    <mergeCell ref="A29:A30"/>
    <mergeCell ref="B29:B30"/>
    <mergeCell ref="D30:E30"/>
    <mergeCell ref="F30:G30"/>
    <mergeCell ref="A33:B33"/>
    <mergeCell ref="D33:G33"/>
    <mergeCell ref="A34:B38"/>
    <mergeCell ref="D36:F36"/>
    <mergeCell ref="D37:G38"/>
    <mergeCell ref="A39:G39"/>
    <mergeCell ref="A40:B40"/>
    <mergeCell ref="D40:G40"/>
    <mergeCell ref="A41:B42"/>
    <mergeCell ref="D41:G42"/>
  </mergeCells>
  <dataValidations count="8">
    <dataValidation type="list" allowBlank="1" showErrorMessage="1" errorStyle="stop" sqref="B14">
      <formula1>'dữ liệu nguồn'!$e$5:$e$8</formula1>
      <formula2>0</formula2>
    </dataValidation>
    <dataValidation type="list" allowBlank="1" showErrorMessage="1" errorStyle="stop" sqref="B16">
      <formula1>'dữ liệu nguồn'!$e$11:$e$14</formula1>
      <formula2>0</formula2>
    </dataValidation>
    <dataValidation type="list" allowBlank="1" showErrorMessage="1" errorStyle="stop" sqref="B17">
      <formula1>'dữ liệu nguồn'!$e$16:$e$18</formula1>
      <formula2>0</formula2>
    </dataValidation>
    <dataValidation type="list" allowBlank="1" showErrorMessage="1" errorStyle="stop" sqref="B8">
      <formula1>'dữ liệu nguồn'!$g$4:$g$22</formula1>
      <formula2>0</formula2>
    </dataValidation>
    <dataValidation type="list" allowBlank="1" showErrorMessage="1" errorStyle="stop" sqref="E34">
      <formula1>'dữ liệu nguồn'!$a$5:$a$12</formula1>
      <formula2>0</formula2>
    </dataValidation>
    <dataValidation type="list" allowBlank="1" showErrorMessage="1" errorStyle="stop" sqref="E9">
      <formula1>'dữ liệu nguồn'!$j$4:$j$15</formula1>
      <formula2>0</formula2>
    </dataValidation>
    <dataValidation type="list" allowBlank="1" showErrorMessage="1" errorStyle="stop" sqref="F34">
      <formula1>'dữ liệu nguồn'!$b$5:$b$12</formula1>
      <formula2>0</formula2>
    </dataValidation>
    <dataValidation type="list" allowBlank="1" showErrorMessage="1" errorStyle="stop" sqref="G9">
      <formula1>'dữ liệu nguồn'!$l$4:$l$14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76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Xpander 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/>
  <dc:subject/>
  <dc:description/>
  <dc:language>en-US</dc:language>
  <cp:lastModifiedBy>Unknown</cp:lastModifiedBy>
  <dcterms:created xsi:type="dcterms:W3CDTF">2022-11-22T02:23:00Z</dcterms:created>
  <dcterms:modified xsi:type="dcterms:W3CDTF">2026-08-26T11:11:53Z</dcterms:modified>
</cp:coreProperties>
</file>
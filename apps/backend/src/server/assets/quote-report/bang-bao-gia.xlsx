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Xpander Eco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D8" authorId="0">
      <text>
        <r>
          <rPr>
            <sz val="10"/>
            <rFont val="Arial"/>
            <charset val="134"/>
          </rPr>
          <t>Giá trị mẫu: 2026</t>
        </r>
      </text>
    </comment>
    <comment ref="B9" authorId="0">
      <text>
        <r>
          <rPr>
            <sz val="10"/>
            <rFont val="Arial"/>
            <charset val="134"/>
          </rPr>
          <t>Giá trị mẫu: 598000000.0</t>
        </r>
      </text>
    </comment>
    <comment ref="G9" authorId="0">
      <text>
        <r>
          <rPr>
            <sz val="10"/>
            <rFont val="Arial"/>
            <charset val="134"/>
          </rPr>
          <t>Giá trị mẫu: Nâu</t>
        </r>
      </text>
    </comment>
    <comment ref="B10" authorId="0">
      <text>
        <r>
          <rPr>
            <sz val="10"/>
            <rFont val="Arial"/>
            <charset val="134"/>
          </rPr>
          <t>Giá trị mẫu: 95000000.0</t>
        </r>
      </text>
    </comment>
    <comment ref="B13" authorId="0">
      <text>
        <r>
          <rPr>
            <sz val="10"/>
            <rFont val="Arial"/>
            <charset val="134"/>
          </rPr>
          <t>Giá trị mẫu: 59800000.0</t>
        </r>
      </text>
    </comment>
    <comment ref="D13" authorId="0">
      <text>
        <r>
          <rPr>
            <sz val="10"/>
            <rFont val="Arial"/>
            <charset val="134"/>
          </rPr>
          <t>Giá trị mẫu: Bao tay lái</t>
        </r>
      </text>
    </comment>
    <comment ref="F13" authorId="0">
      <text>
        <r>
          <rPr>
            <sz val="10"/>
            <rFont val="Arial"/>
            <charset val="134"/>
          </rPr>
          <t xml:space="preserve">Giá trị mẫu: Phim cách nhiệt </t>
        </r>
      </text>
    </comment>
    <comment ref="B14" authorId="0">
      <text>
        <r>
          <rPr>
            <sz val="10"/>
            <rFont val="Arial"/>
            <charset val="134"/>
          </rPr>
          <t>Giá trị mẫu: 140000.0</t>
        </r>
      </text>
    </comment>
    <comment ref="D14" authorId="0">
      <text>
        <r>
          <rPr>
            <sz val="10"/>
            <rFont val="Arial"/>
            <charset val="134"/>
          </rPr>
          <t>Giá trị mẫu: 02 gối đầu</t>
        </r>
      </text>
    </comment>
    <comment ref="F14" authorId="0">
      <text>
        <r>
          <rPr>
            <sz val="10"/>
            <rFont val="Arial"/>
            <charset val="134"/>
          </rPr>
          <t>Giá trị mẫu: Thảm lót sàn</t>
        </r>
      </text>
    </comment>
    <comment ref="B15" authorId="0">
      <text>
        <r>
          <rPr>
            <sz val="10"/>
            <rFont val="Arial"/>
            <charset val="134"/>
          </rPr>
          <t>Giá trị mẫu: 140000.0</t>
        </r>
      </text>
    </comment>
    <comment ref="D15" authorId="0">
      <text>
        <r>
          <rPr>
            <sz val="10"/>
            <rFont val="Arial"/>
            <charset val="134"/>
          </rPr>
          <t>Giá trị mẫu: Ví da đựng hồ sơ</t>
        </r>
      </text>
    </comment>
    <comment ref="F15" authorId="0">
      <text>
        <r>
          <rPr>
            <sz val="10"/>
            <rFont val="Arial"/>
            <charset val="134"/>
          </rPr>
          <t xml:space="preserve">Giá trị mẫu: Cam hành trình </t>
        </r>
      </text>
    </comment>
    <comment ref="B16" authorId="0">
      <text>
        <r>
          <rPr>
            <sz val="10"/>
            <rFont val="Arial"/>
            <charset val="134"/>
          </rPr>
          <t>Giá trị mẫu: 1203000.0</t>
        </r>
      </text>
    </comment>
    <comment ref="F16" authorId="0">
      <text>
        <r>
          <rPr>
            <sz val="10"/>
            <rFont val="Arial"/>
            <charset val="134"/>
          </rPr>
          <t xml:space="preserve">Giá trị mẫu: Taplo Nhung </t>
        </r>
      </text>
    </comment>
    <comment ref="B17" authorId="0">
      <text>
        <r>
          <rPr>
            <sz val="10"/>
            <rFont val="Arial"/>
            <charset val="134"/>
          </rPr>
          <t>Giá trị mẫu: 2160000.0</t>
        </r>
      </text>
    </comment>
    <comment ref="B20" authorId="0">
      <text>
        <r>
          <rPr>
            <sz val="10"/>
            <rFont val="Arial"/>
            <charset val="134"/>
          </rPr>
          <t>Giá trị mẫu: 5000000.0</t>
        </r>
      </text>
    </comment>
    <comment ref="D21" authorId="0">
      <text>
        <r>
          <rPr>
            <sz val="10"/>
            <rFont val="Arial"/>
            <charset val="134"/>
          </rPr>
          <t>Giá trị mẫu: Ví da đựng hồ sơ</t>
        </r>
      </text>
    </comment>
    <comment ref="D22" authorId="0">
      <text>
        <r>
          <rPr>
            <sz val="10"/>
            <rFont val="Arial"/>
            <charset val="134"/>
          </rPr>
          <t>Giá trị mẫu: Ví da đựng hồ sơ</t>
        </r>
      </text>
    </comment>
    <comment ref="B25" authorId="0">
      <text>
        <r>
          <rPr>
            <sz val="10"/>
            <rFont val="Arial"/>
            <charset val="134"/>
          </rPr>
          <t>Giá trị mẫu: 20000000.0</t>
        </r>
      </text>
    </comment>
    <comment ref="F26" authorId="0">
      <text>
        <r>
          <rPr>
            <sz val="10"/>
            <rFont val="Arial"/>
            <charset val="134"/>
          </rPr>
          <t>Giá trị mẫu: 495000000.0</t>
        </r>
      </text>
    </comment>
    <comment ref="E31" authorId="0">
      <text>
        <r>
          <rPr>
            <sz val="10"/>
            <rFont val="Arial"/>
            <charset val="134"/>
          </rPr>
          <t>Giá trị mẫu: 5 Năm</t>
        </r>
      </text>
    </comment>
    <comment ref="F31" authorId="0">
      <text>
        <r>
          <rPr>
            <sz val="10"/>
            <rFont val="Arial"/>
            <charset val="134"/>
          </rPr>
          <t>Giá trị mẫu: 60.0</t>
        </r>
      </text>
    </comment>
    <comment ref="E32" authorId="0">
      <text>
        <r>
          <rPr>
            <sz val="10"/>
            <rFont val="Arial"/>
            <charset val="134"/>
          </rPr>
          <t>Giá trị mẫu: 0.165</t>
        </r>
      </text>
    </comment>
  </commentList>
</comments>
</file>

<file path=xl/sharedStrings.xml><?xml version="1.0" encoding="utf-8"?>
<sst xmlns="http://schemas.openxmlformats.org/spreadsheetml/2006/main" count="76" uniqueCount="73">
  <si>
    <t>BẢNG BÁO GIÁ CHI TIẾT</t>
  </si>
  <si>
    <t>Khách hàng: {{TEN_KHACH_HANG}}</t>
  </si>
  <si>
    <t>Địa chỉ: {{DIA_CHI_KHACH_HANG}}</t>
  </si>
  <si>
    <t>TVBH: {{TEN_TVBH}}</t>
  </si>
  <si>
    <t>SĐT: {{SDT_TVBH}}</t>
  </si>
  <si>
    <t>Loại xe:</t>
  </si>
  <si>
    <t>Xpander Eco</t>
  </si>
  <si>
    <t>Đời xe: {{DOI_XE}}</t>
  </si>
  <si>
    <t>Giá niêm yết:</t>
  </si>
  <si>
    <t>{{GIA_NIEM_YET}}</t>
  </si>
  <si>
    <t>TG giao xe:</t>
  </si>
  <si>
    <t>Màu xe</t>
  </si>
  <si>
    <t>{{MAU_XE}}</t>
  </si>
  <si>
    <t>Giảm giá:</t>
  </si>
  <si>
    <t>{{GIAM_GIA}}</t>
  </si>
  <si>
    <t>Hiệu lực báo giá áp dụng trong tháng</t>
  </si>
  <si>
    <t>Giá Bán:</t>
  </si>
  <si>
    <t>ĐVT: VNĐ</t>
  </si>
  <si>
    <t>Tạm tính chi phí</t>
  </si>
  <si>
    <t>Quà Tặng</t>
  </si>
  <si>
    <t>Thuế trước bạ (tạm tính)</t>
  </si>
  <si>
    <t>{{THUE_TRUOC_BA}}</t>
  </si>
  <si>
    <t>{{QUA_TANG_1}}</t>
  </si>
  <si>
    <t>{{QUA_TANG_2}}</t>
  </si>
  <si>
    <t>Phí bấm biển số</t>
  </si>
  <si>
    <t>{{PHI_BAM_BIEN_SO}}</t>
  </si>
  <si>
    <t>{{QUA_TANG_3}}</t>
  </si>
  <si>
    <t>{{QUA_TANG_4}}</t>
  </si>
  <si>
    <t>Lệ phí đăng kiểm</t>
  </si>
  <si>
    <t>{{LE_PHI_DANG_KIEM}}</t>
  </si>
  <si>
    <t>{{QUA_TANG_5}}</t>
  </si>
  <si>
    <t>{{QUA_TANG_6}}</t>
  </si>
  <si>
    <t>Bảo hiểm TNDS + Người ngồi xe (1 năm)</t>
  </si>
  <si>
    <t>{{BH_TNDS}}</t>
  </si>
  <si>
    <t>Phí sử dụng đường bộ (1 năm)</t>
  </si>
  <si>
    <t>{{PHI_DUONG_BO}}</t>
  </si>
  <si>
    <t>CHI PHÍ PHÁT SINH THÊM</t>
  </si>
  <si>
    <t>Bảo hiểm thân vỏ ( 1.3%)</t>
  </si>
  <si>
    <t/>
  </si>
  <si>
    <t>BẢO HIỂM THÂN VỎ XE</t>
  </si>
  <si>
    <t xml:space="preserve">TẶNG </t>
  </si>
  <si>
    <t>Phụ kiện trang bị thêm (Nếu có)</t>
  </si>
  <si>
    <t>Phí dịch vụ đăng ký xe ( KD BIỂN VÀNG)</t>
  </si>
  <si>
    <t>{{PHI_DICH_VU_DANG_KY}}</t>
  </si>
  <si>
    <t>Hộp đen (nếu có)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</si>
  <si>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</si>
  <si>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Tổng Chi Phí Đăng ký xe</t>
  </si>
  <si>
    <t>{{PHU_KIEN}}</t>
  </si>
  <si>
    <t>TỔNG LĂNG BÁNH</t>
  </si>
  <si>
    <t>TỔNG CHI PHÍ PHÁT SINH</t>
  </si>
  <si>
    <t>PHƯƠNG ÁN: MUA TIỀN MẶT</t>
  </si>
  <si>
    <t>PHƯƠNG ÁN: MUA VAY NGÂN HÀNG</t>
  </si>
  <si>
    <t>Tiền cọc:</t>
  </si>
  <si>
    <t>{{TIEN_COC_TM}}</t>
  </si>
  <si>
    <t xml:space="preserve">GIÁ XE </t>
  </si>
  <si>
    <t>Chi Phí Phát sinh thêm (Nếu có)</t>
  </si>
  <si>
    <t>Số tiền vay</t>
  </si>
  <si>
    <t>{{SO_TIEN_VAY_NH}}</t>
  </si>
  <si>
    <t>VAT (10%)</t>
  </si>
  <si>
    <t>THANH TOÁN LẦN 2</t>
  </si>
  <si>
    <t xml:space="preserve">BHTV </t>
  </si>
  <si>
    <t xml:space="preserve">CÁC MÀU XE </t>
  </si>
  <si>
    <t>PHƯƠNG ÁN TRẢ HÀNG THÁNG</t>
  </si>
  <si>
    <t>Thời gian vay:</t>
  </si>
  <si>
    <t>{{THOI_GIAN_VAY}}</t>
  </si>
  <si>
    <t>{{SO_THANG_VAY}}</t>
  </si>
  <si>
    <t>Tiền gốc tháng:</t>
  </si>
  <si>
    <t>{{LAI_SUAT_NAM}}</t>
  </si>
  <si>
    <t>Thanh toán tháng</t>
  </si>
  <si>
    <t>Quý khách đặt cọc và ký hợp đồng chúng tôi sẽ tiến hành thẩm
 định và làm hồ sơ ngân hàng, trường hợp ngân hàng không đồng ý cho vay, chúng tôi sẽ hoàn lại 100% tiền cọc</t>
  </si>
  <si>
    <t>* Chính sách bảo hành: 3 năm/100.000km tùy theo điều kiện nào đến trước</t>
  </si>
  <si>
    <t>XÁC NHẬN TVBH</t>
  </si>
  <si>
    <t>XÁC NHẬN KHÁCH HÀNG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</si>
</sst>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_-* #,##0_-;\-* #,##0_-;_-* \-_-;_-@"/>
  </numFmts>
  <fonts count="33">
    <font>
      <sz val="11"/>
      <color theme="1"/>
      <name val="Times New Roman"/>
      <charset val="134"/>
      <scheme val="minor"/>
    </font>
    <font>
      <sz val="14"/>
      <name val="Times New Roman"/>
      <charset val="134"/>
    </font>
    <font>
      <b/>
      <sz val="18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"/>
    </font>
    <font>
      <b/>
      <sz val="14"/>
      <color rgb="FFFF0000"/>
      <name val="Times New Roman"/>
      <charset val="1"/>
    </font>
    <font>
      <sz val="13"/>
      <color theme="1"/>
      <name val="Times New Roman"/>
      <charset val="1"/>
    </font>
    <font>
      <sz val="14"/>
      <color rgb="FFFF0000"/>
      <name val="Times New Roman"/>
      <charset val="1"/>
    </font>
    <font>
      <b/>
      <sz val="14"/>
      <color rgb="FF002060"/>
      <name val="Times New Roman"/>
      <charset val="1"/>
    </font>
    <font>
      <sz val="14"/>
      <color theme="1"/>
      <name val="Times New Roman"/>
      <charset val="1"/>
    </font>
    <font>
      <i/>
      <sz val="11"/>
      <color theme="1"/>
      <name val="Times New Roman"/>
      <charset val="1"/>
    </font>
    <font>
      <b/>
      <sz val="13"/>
      <color theme="1"/>
      <name val="Times New Roman"/>
      <charset val="1"/>
    </font>
    <font>
      <b/>
      <i/>
      <sz val="14"/>
      <color theme="1"/>
      <name val="Times New Roman"/>
      <charset val="1"/>
    </font>
    <font>
      <u/>
      <sz val="11"/>
      <color rgb="FF0000FF"/>
      <name val="Times New Roman"/>
      <charset val="0"/>
      <scheme val="minor"/>
    </font>
    <font>
      <u/>
      <sz val="11"/>
      <color rgb="FF800080"/>
      <name val="Times New Roman"/>
      <charset val="0"/>
      <scheme val="minor"/>
    </font>
    <font>
      <sz val="11"/>
      <color rgb="FFFF0000"/>
      <name val="Times New Roman"/>
      <charset val="0"/>
      <scheme val="minor"/>
    </font>
    <font>
      <b/>
      <sz val="18"/>
      <color theme="3"/>
      <name val="Times New Roman"/>
      <charset val="134"/>
      <scheme val="minor"/>
    </font>
    <font>
      <i/>
      <sz val="11"/>
      <color rgb="FF7F7F7F"/>
      <name val="Times New Roman"/>
      <charset val="0"/>
      <scheme val="minor"/>
    </font>
    <font>
      <b/>
      <sz val="15"/>
      <color theme="3"/>
      <name val="Times New Roman"/>
      <charset val="134"/>
      <scheme val="minor"/>
    </font>
    <font>
      <b/>
      <sz val="13"/>
      <color theme="3"/>
      <name val="Times New Roman"/>
      <charset val="134"/>
      <scheme val="minor"/>
    </font>
    <font>
      <b/>
      <sz val="11"/>
      <color theme="3"/>
      <name val="Times New Roman"/>
      <charset val="134"/>
      <scheme val="minor"/>
    </font>
    <font>
      <sz val="11"/>
      <color rgb="FF3F3F76"/>
      <name val="Times New Roman"/>
      <charset val="0"/>
      <scheme val="minor"/>
    </font>
    <font>
      <b/>
      <sz val="11"/>
      <color rgb="FF3F3F3F"/>
      <name val="Times New Roman"/>
      <charset val="0"/>
      <scheme val="minor"/>
    </font>
    <font>
      <b/>
      <sz val="11"/>
      <color rgb="FFFA7D00"/>
      <name val="Times New Roman"/>
      <charset val="0"/>
      <scheme val="minor"/>
    </font>
    <font>
      <b/>
      <sz val="11"/>
      <color rgb="FFFFFFFF"/>
      <name val="Times New Roman"/>
      <charset val="0"/>
      <scheme val="minor"/>
    </font>
    <font>
      <sz val="11"/>
      <color rgb="FFFA7D00"/>
      <name val="Times New Roman"/>
      <charset val="0"/>
      <scheme val="minor"/>
    </font>
    <font>
      <b/>
      <sz val="11"/>
      <color theme="1"/>
      <name val="Times New Roman"/>
      <charset val="0"/>
      <scheme val="minor"/>
    </font>
    <font>
      <sz val="11"/>
      <color rgb="FF006100"/>
      <name val="Times New Roman"/>
      <charset val="0"/>
      <scheme val="minor"/>
    </font>
    <font>
      <sz val="11"/>
      <color rgb="FF9C0006"/>
      <name val="Times New Roman"/>
      <charset val="0"/>
      <scheme val="minor"/>
    </font>
    <font>
      <sz val="11"/>
      <color rgb="FF9C6500"/>
      <name val="Times New Roman"/>
      <charset val="0"/>
      <scheme val="minor"/>
    </font>
    <font>
      <sz val="11"/>
      <color theme="0"/>
      <name val="Times New Roman"/>
      <charset val="0"/>
      <scheme val="minor"/>
    </font>
    <font>
      <sz val="11"/>
      <color theme="1"/>
      <name val="Times New Roman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5E0B3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auto="1"/>
      </left>
      <right style="thin">
        <color auto="1"/>
      </right>
      <top style="thin">
        <color rgb="FF1F1F1F"/>
      </top>
      <bottom style="thin">
        <color auto="1"/>
      </bottom>
      <diagonal/>
    </border>
    <border>
      <left style="thin">
        <color auto="1"/>
      </left>
      <right style="thin">
        <color rgb="FF1F1F1F"/>
      </right>
      <top style="thin">
        <color rgb="FF1F1F1F"/>
      </top>
      <bottom style="thin">
        <color auto="1"/>
      </bottom>
      <diagonal/>
    </border>
    <border>
      <left style="thin">
        <color rgb="FF1F1F1F"/>
      </left>
      <right style="thin">
        <color auto="1"/>
      </right>
      <top style="thin">
        <color rgb="FF1F1F1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1F1F1F"/>
      </right>
      <top style="thin">
        <color auto="1"/>
      </top>
      <bottom style="thin">
        <color auto="1"/>
      </bottom>
      <diagonal/>
    </border>
    <border>
      <left style="thin">
        <color rgb="FF1F1F1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1F1F1F"/>
      </bottom>
      <diagonal/>
    </border>
    <border>
      <left style="thin">
        <color auto="1"/>
      </left>
      <right style="thin">
        <color rgb="FF1F1F1F"/>
      </right>
      <top style="thin">
        <color auto="1"/>
      </top>
      <bottom style="thin">
        <color rgb="FF1F1F1F"/>
      </bottom>
      <diagonal/>
    </border>
    <border>
      <left style="thin">
        <color rgb="FF1F1F1F"/>
      </left>
      <right style="thin">
        <color auto="1"/>
      </right>
      <top style="thin">
        <color auto="1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7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4" fillId="0" borderId="3" xfId="0" applyFont="1" applyBorder="1" applyAlignment="1"/>
    <xf numFmtId="0" fontId="4" fillId="2" borderId="4" xfId="0" applyFont="1" applyFill="1" applyBorder="1" applyAlignment="1"/>
    <xf numFmtId="0" fontId="1" fillId="0" borderId="0" xfId="0" applyFont="1" applyBorder="1"/>
    <xf numFmtId="0" fontId="4" fillId="0" borderId="5" xfId="0" applyFont="1" applyBorder="1" applyAlignment="1"/>
    <xf numFmtId="0" fontId="1" fillId="0" borderId="3" xfId="0" applyFont="1" applyBorder="1"/>
    <xf numFmtId="178" fontId="5" fillId="0" borderId="3" xfId="0" applyNumberFormat="1" applyFont="1" applyBorder="1" applyAlignment="1">
      <alignment horizontal="left"/>
    </xf>
    <xf numFmtId="0" fontId="4" fillId="0" borderId="6" xfId="0" applyFont="1" applyBorder="1" applyAlignment="1"/>
    <xf numFmtId="3" fontId="4" fillId="0" borderId="7" xfId="0" applyNumberFormat="1" applyFont="1" applyBorder="1" applyAlignment="1"/>
    <xf numFmtId="0" fontId="4" fillId="0" borderId="8" xfId="0" applyFont="1" applyBorder="1" applyAlignment="1"/>
    <xf numFmtId="0" fontId="6" fillId="0" borderId="6" xfId="0" applyFont="1" applyBorder="1" applyAlignment="1"/>
    <xf numFmtId="0" fontId="4" fillId="0" borderId="6" xfId="0" applyFont="1" applyBorder="1" applyAlignment="1">
      <alignment horizontal="center"/>
    </xf>
    <xf numFmtId="3" fontId="7" fillId="0" borderId="7" xfId="0" applyNumberFormat="1" applyFont="1" applyBorder="1" applyAlignment="1"/>
    <xf numFmtId="0" fontId="8" fillId="0" borderId="8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3" fontId="9" fillId="0" borderId="7" xfId="0" applyNumberFormat="1" applyFont="1" applyBorder="1" applyAlignment="1"/>
    <xf numFmtId="0" fontId="9" fillId="0" borderId="8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9" fillId="0" borderId="6" xfId="0" applyFont="1" applyBorder="1" applyAlignment="1"/>
    <xf numFmtId="0" fontId="1" fillId="0" borderId="8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0" fillId="0" borderId="0" xfId="0" applyFont="1" applyAlignment="1"/>
    <xf numFmtId="0" fontId="5" fillId="0" borderId="6" xfId="0" applyFont="1" applyBorder="1" applyAlignment="1"/>
    <xf numFmtId="3" fontId="5" fillId="0" borderId="7" xfId="0" applyNumberFormat="1" applyFont="1" applyBorder="1" applyAlignment="1">
      <alignment horizontal="right"/>
    </xf>
    <xf numFmtId="0" fontId="7" fillId="0" borderId="6" xfId="0" applyFont="1" applyBorder="1" applyAlignment="1">
      <alignment wrapText="1"/>
    </xf>
    <xf numFmtId="179" fontId="5" fillId="0" borderId="6" xfId="0" applyNumberFormat="1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6" fillId="0" borderId="0" xfId="0" applyFont="1" applyAlignme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6" xfId="0" applyFont="1" applyBorder="1" applyAlignment="1">
      <alignment horizontal="center"/>
    </xf>
    <xf numFmtId="3" fontId="5" fillId="0" borderId="7" xfId="0" applyNumberFormat="1" applyFont="1" applyBorder="1" applyAlignment="1"/>
    <xf numFmtId="0" fontId="0" fillId="0" borderId="6" xfId="0" applyBorder="1"/>
    <xf numFmtId="0" fontId="8" fillId="0" borderId="6" xfId="0" applyFont="1" applyBorder="1" applyAlignment="1">
      <alignment horizontal="right"/>
    </xf>
    <xf numFmtId="0" fontId="4" fillId="2" borderId="8" xfId="0" applyFont="1" applyFill="1" applyBorder="1" applyAlignment="1">
      <alignment horizontal="center"/>
    </xf>
    <xf numFmtId="3" fontId="4" fillId="0" borderId="6" xfId="0" applyNumberFormat="1" applyFont="1" applyBorder="1" applyAlignment="1">
      <alignment horizontal="right"/>
    </xf>
    <xf numFmtId="0" fontId="9" fillId="0" borderId="6" xfId="0" applyFont="1" applyBorder="1" applyAlignment="1">
      <alignment vertical="center"/>
    </xf>
    <xf numFmtId="3" fontId="5" fillId="0" borderId="7" xfId="0" applyNumberFormat="1" applyFont="1" applyBorder="1" applyAlignment="1">
      <alignment vertical="center"/>
    </xf>
    <xf numFmtId="3" fontId="9" fillId="0" borderId="6" xfId="0" applyNumberFormat="1" applyFont="1" applyBorder="1" applyAlignment="1">
      <alignment horizontal="right"/>
    </xf>
    <xf numFmtId="3" fontId="9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8" fillId="3" borderId="6" xfId="0" applyFont="1" applyFill="1" applyBorder="1" applyAlignment="1">
      <alignment horizontal="center" vertical="center"/>
    </xf>
    <xf numFmtId="3" fontId="8" fillId="3" borderId="7" xfId="0" applyNumberFormat="1" applyFont="1" applyFill="1" applyBorder="1" applyAlignment="1">
      <alignment horizontal="right" vertical="center"/>
    </xf>
    <xf numFmtId="0" fontId="8" fillId="3" borderId="8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3" fontId="8" fillId="3" borderId="6" xfId="0" applyNumberFormat="1" applyFont="1" applyFill="1" applyBorder="1" applyAlignment="1">
      <alignment horizontal="right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/>
    <xf numFmtId="3" fontId="9" fillId="0" borderId="6" xfId="0" applyNumberFormat="1" applyFont="1" applyBorder="1" applyAlignment="1"/>
    <xf numFmtId="10" fontId="9" fillId="0" borderId="6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3" fontId="11" fillId="0" borderId="6" xfId="0" applyNumberFormat="1" applyFont="1" applyBorder="1" applyAlignment="1"/>
    <xf numFmtId="0" fontId="12" fillId="0" borderId="8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9" fillId="0" borderId="1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6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1000125</xdr:colOff>
      <xdr:row>30</xdr:row>
      <xdr:rowOff>161925</xdr:rowOff>
    </xdr:from>
    <xdr:to>
      <xdr:col>0</xdr:col>
      <xdr:colOff>2171205</xdr:colOff>
      <xdr:row>32</xdr:row>
      <xdr:rowOff>110855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000125" y="7318375"/>
          <a:ext cx="1170940" cy="589915"/>
        </a:xfrm>
        <a:prstGeom prst="rect">
          <a:avLst/>
        </a:prstGeom>
      </xdr:spPr>
    </xdr:pic>
    <xdr:clientData/>
  </xdr:twoCellAnchor>
  <xdr:twoCellAnchor editAs="oneCell">
    <xdr:from>
      <xdr:col>0</xdr:col>
      <xdr:colOff>2437765</xdr:colOff>
      <xdr:row>30</xdr:row>
      <xdr:rowOff>171450</xdr:rowOff>
    </xdr:from>
    <xdr:to>
      <xdr:col>1</xdr:col>
      <xdr:colOff>1269205</xdr:colOff>
      <xdr:row>32</xdr:row>
      <xdr:rowOff>120290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2437765" y="7327900"/>
          <a:ext cx="2031365" cy="589915"/>
        </a:xfrm>
        <a:prstGeom prst="rect">
          <a:avLst/>
        </a:prstGeom>
      </xdr:spPr>
    </xdr:pic>
    <xdr:clientData/>
  </xdr:twoCellAnchor>
  <xdr:twoCellAnchor editAs="oneCell">
    <xdr:from>
      <xdr:col>0</xdr:col>
      <xdr:colOff>933450</xdr:colOff>
      <xdr:row>33</xdr:row>
      <xdr:rowOff>104140</xdr:rowOff>
    </xdr:from>
    <xdr:to>
      <xdr:col>1</xdr:col>
      <xdr:colOff>1060170</xdr:colOff>
      <xdr:row>34</xdr:row>
      <xdr:rowOff>205230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933450" y="8140065"/>
          <a:ext cx="3326765" cy="60896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</xdr:row>
      <xdr:rowOff>158750</xdr:rowOff>
    </xdr:from>
    <xdr:to>
      <xdr:col>0</xdr:col>
      <xdr:colOff>1371255</xdr:colOff>
      <xdr:row>4</xdr:row>
      <xdr:rowOff>336070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04775" y="209550"/>
          <a:ext cx="1266190" cy="558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&#7919; li&#7879;u ngu&#7891;n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zoomScale="70" zoomScaleNormal="70" workbookViewId="0">
      <selection activeCell="M16" sqref="M16"/>
    </sheetView>
  </sheetViews>
  <sheetFormatPr defaultColWidth="11.2190476190476" defaultRowHeight="15"/>
  <cols>
    <col min="1" max="1" width="48" customWidth="1"/>
    <col min="2" max="2" width="41.7142857142857" customWidth="1"/>
    <col min="3" max="3" width="3" customWidth="1"/>
    <col min="4" max="4" width="18" customWidth="1"/>
    <col min="5" max="5" width="30.4285714285714" customWidth="1"/>
    <col min="6" max="6" width="30.2857142857143" customWidth="1"/>
    <col min="7" max="7" width="22" customWidth="1"/>
  </cols>
  <sheetData>
    <row r="1" ht="2" customHeight="1" spans="1:10">
      <c r="A1" s="1"/>
      <c r="B1" s="1"/>
      <c r="C1" s="1"/>
      <c r="D1" s="1"/>
      <c r="E1" s="1"/>
      <c r="F1" s="1"/>
      <c r="G1" s="1"/>
    </row>
    <row r="2" ht="2" customHeight="1" spans="1:10">
      <c r="A2" s="1"/>
      <c r="B2" s="1"/>
      <c r="C2" s="1"/>
      <c r="D2" s="1"/>
      <c r="E2" s="1"/>
      <c r="F2" s="1"/>
      <c r="G2" s="1"/>
    </row>
    <row r="3" customHeight="1" spans="1:10">
      <c r="A3" s="2" t="s">
        <v>0</v>
      </c>
      <c r="B3" s="2"/>
      <c r="C3" s="2"/>
      <c r="D3" s="2"/>
      <c r="E3" s="2"/>
      <c r="F3" s="2"/>
      <c r="G3" s="2"/>
    </row>
    <row r="4" customHeight="1" spans="1:10">
      <c r="A4" s="2"/>
      <c r="B4" s="2"/>
      <c r="C4" s="2"/>
      <c r="D4" s="2"/>
      <c r="E4" s="2"/>
      <c r="F4" s="2"/>
      <c r="G4" s="2"/>
    </row>
    <row r="5" ht="36" customHeight="1" spans="1:10">
      <c r="A5" s="2"/>
      <c r="B5" s="2"/>
      <c r="C5" s="2"/>
      <c r="D5" s="2"/>
      <c r="E5" s="2"/>
      <c r="F5" s="2"/>
      <c r="G5" s="2"/>
    </row>
    <row r="6" ht="21.75" customHeight="1" spans="1:10">
      <c r="A6" s="3" t="s">
        <v>1</v>
      </c>
      <c r="B6" s="3"/>
      <c r="C6" s="3"/>
      <c r="D6" s="3"/>
      <c r="E6" s="3"/>
      <c r="F6" s="3"/>
      <c r="G6" s="3"/>
    </row>
    <row r="7" ht="21.75" customHeight="1" spans="1:10">
      <c r="A7" s="3" t="s">
        <v>2</v>
      </c>
      <c r="B7" s="3"/>
      <c r="C7" s="4"/>
      <c r="D7" s="3" t="s">
        <v>3</v>
      </c>
      <c r="E7" s="3"/>
      <c r="F7" s="3" t="s">
        <v>4</v>
      </c>
      <c r="G7" s="3"/>
    </row>
    <row r="8" ht="21.75" customHeight="1" spans="1:10">
      <c r="A8" s="5" t="s">
        <v>5</v>
      </c>
      <c r="B8" s="6" t="s">
        <v>6</v>
      </c>
      <c r="C8" s="7"/>
      <c r="D8" s="8" t="s">
        <v>7</v>
      </c>
      <c r="E8" s="9"/>
      <c r="F8" s="10">
        <f ca="1">TODAY()</f>
        <v>46272</v>
      </c>
      <c r="G8" s="10"/>
    </row>
    <row r="9" ht="21.75" customHeight="1" spans="1:10">
      <c r="A9" s="11" t="s">
        <v>8</v>
      </c>
      <c r="B9" s="12" t="s">
        <v>9</v>
      </c>
      <c r="C9" s="7"/>
      <c r="D9" s="13" t="s">
        <v>10</v>
      </c>
      <c r="E9" s="14"/>
      <c r="F9" s="11" t="s">
        <v>11</v>
      </c>
      <c r="G9" s="15" t="s">
        <v>12</v>
      </c>
    </row>
    <row r="10" ht="21" customHeight="1" spans="1:10">
      <c r="A10" s="11" t="s">
        <v>13</v>
      </c>
      <c r="B10" s="16" t="s">
        <v>14</v>
      </c>
      <c r="C10" s="7"/>
      <c r="D10" s="17" t="s">
        <v>15</v>
      </c>
      <c r="E10" s="18"/>
      <c r="F10" s="18"/>
      <c r="G10" s="18"/>
    </row>
    <row r="11" ht="21" customHeight="1" spans="1:10">
      <c r="A11" s="11" t="s">
        <v>16</v>
      </c>
      <c r="B11" s="19" t="e">
        <f>B9-B10</f>
        <v>#VALUE!</v>
      </c>
      <c r="C11" s="7"/>
      <c r="D11" s="20" t="s">
        <v>17</v>
      </c>
      <c r="E11" s="21"/>
      <c r="F11" s="21"/>
      <c r="G11" s="21"/>
    </row>
    <row r="12" customHeight="1" spans="1:10">
      <c r="A12" s="22" t="s">
        <v>18</v>
      </c>
      <c r="B12" s="23"/>
      <c r="C12" s="7"/>
      <c r="D12" s="24" t="s">
        <v>19</v>
      </c>
      <c r="E12" s="25"/>
      <c r="F12" s="25"/>
      <c r="G12" s="25"/>
    </row>
    <row r="13" ht="21.75" customHeight="1" spans="1:10">
      <c r="A13" s="26" t="s">
        <v>20</v>
      </c>
      <c r="B13" s="19" t="s">
        <v>21</v>
      </c>
      <c r="C13" s="7"/>
      <c r="D13" s="27" t="s">
        <v>22</v>
      </c>
      <c r="E13" s="28"/>
      <c r="F13" s="28" t="s">
        <v>23</v>
      </c>
      <c r="G13" s="28"/>
    </row>
    <row r="14" ht="21.75" customHeight="1" spans="1:10">
      <c r="A14" s="26" t="s">
        <v>24</v>
      </c>
      <c r="B14" s="19" t="s">
        <v>25</v>
      </c>
      <c r="C14" s="7"/>
      <c r="D14" s="27" t="s">
        <v>26</v>
      </c>
      <c r="E14" s="28"/>
      <c r="F14" s="28" t="s">
        <v>27</v>
      </c>
      <c r="G14" s="28"/>
    </row>
    <row r="15" ht="21.75" customHeight="1" spans="1:10">
      <c r="A15" s="26" t="s">
        <v>28</v>
      </c>
      <c r="B15" s="19" t="s">
        <v>29</v>
      </c>
      <c r="C15" s="7"/>
      <c r="D15" s="27" t="s">
        <v>30</v>
      </c>
      <c r="E15" s="28"/>
      <c r="F15" s="28" t="s">
        <v>31</v>
      </c>
      <c r="G15" s="28"/>
      <c r="I15" s="29"/>
      <c r="J15" s="29"/>
    </row>
    <row r="16" ht="21.75" customHeight="1" spans="1:10">
      <c r="A16" s="26" t="s">
        <v>32</v>
      </c>
      <c r="B16" s="19" t="s">
        <v>33</v>
      </c>
      <c r="C16" s="7"/>
      <c r="D16" s="27"/>
      <c r="E16" s="28"/>
      <c r="F16" s="28"/>
      <c r="G16" s="28"/>
    </row>
    <row r="17" ht="21" customHeight="1" spans="1:13">
      <c r="A17" s="26" t="s">
        <v>34</v>
      </c>
      <c r="B17" s="19" t="s">
        <v>35</v>
      </c>
      <c r="C17" s="7"/>
      <c r="D17" s="24" t="s">
        <v>36</v>
      </c>
      <c r="E17" s="25"/>
      <c r="F17" s="25"/>
      <c r="G17" s="25"/>
    </row>
    <row r="18" ht="24" hidden="1" customHeight="1" spans="1:13">
      <c r="A18" s="30" t="s">
        <v>37</v>
      </c>
      <c r="B18" s="31"/>
      <c r="C18" s="7"/>
      <c r="D18" s="27" t="s">
        <v>38</v>
      </c>
      <c r="E18" s="28"/>
      <c r="F18" s="28" t="s">
        <v>38</v>
      </c>
      <c r="G18" s="28"/>
    </row>
    <row r="19" ht="21.75" customHeight="1" spans="1:13">
      <c r="A19" s="32" t="s">
        <v>39</v>
      </c>
      <c r="B19" s="31" t="s">
        <v>40</v>
      </c>
      <c r="C19" s="7"/>
      <c r="D19" s="20" t="s">
        <v>41</v>
      </c>
      <c r="E19" s="21"/>
      <c r="F19" s="33"/>
      <c r="G19" s="33"/>
    </row>
    <row r="20" ht="21" customHeight="1" spans="1:13">
      <c r="A20" s="26" t="s">
        <v>42</v>
      </c>
      <c r="B20" s="19" t="s">
        <v>43</v>
      </c>
      <c r="C20" s="7"/>
      <c r="D20" s="27" t="s">
        <v>44</v>
      </c>
      <c r="E20" s="28"/>
      <c r="F20" s="34"/>
      <c r="G20" s="34"/>
      <c r="M20" s="35" t="s">
        <v>45</v>
      </c>
    </row>
    <row r="21" ht="21" customHeight="1" spans="1:13">
      <c r="A21" s="15" t="s">
        <v>46</v>
      </c>
      <c r="B21" s="12">
        <f>SUM(B13:B20)</f>
        <v>0</v>
      </c>
      <c r="C21" s="7"/>
      <c r="D21" s="27" t="s">
        <v>47</v>
      </c>
      <c r="E21" s="28"/>
      <c r="F21" s="36" t="e">
        <v>#VALUE!</v>
      </c>
      <c r="G21" s="37"/>
    </row>
    <row r="22" ht="21" customHeight="1" spans="1:13">
      <c r="A22" s="38" t="s">
        <v>48</v>
      </c>
      <c r="B22" s="39" t="e">
        <f>B11+B21</f>
        <v>#VALUE!</v>
      </c>
      <c r="C22" s="7"/>
      <c r="D22" s="27" t="s">
        <v>47</v>
      </c>
      <c r="E22" s="28"/>
      <c r="F22" s="36" t="e">
        <v>#VALUE!</v>
      </c>
      <c r="G22" s="37"/>
    </row>
    <row r="23" ht="21.75" customHeight="1" spans="1:13">
      <c r="A23" s="40"/>
      <c r="B23" s="40"/>
      <c r="D23" s="17" t="s">
        <v>49</v>
      </c>
      <c r="E23" s="18"/>
      <c r="F23" s="41"/>
      <c r="G23" s="41"/>
    </row>
    <row r="24" ht="21.75" customHeight="1" spans="1:13">
      <c r="A24" s="22" t="s">
        <v>50</v>
      </c>
      <c r="B24" s="23"/>
      <c r="C24" s="7"/>
      <c r="D24" s="42" t="s">
        <v>51</v>
      </c>
      <c r="E24" s="22"/>
      <c r="F24" s="22"/>
      <c r="G24" s="22"/>
    </row>
    <row r="25" ht="21.75" customHeight="1" spans="1:13">
      <c r="A25" s="21" t="s">
        <v>52</v>
      </c>
      <c r="B25" s="12" t="s">
        <v>53</v>
      </c>
      <c r="C25" s="7"/>
      <c r="D25" s="20" t="s">
        <v>54</v>
      </c>
      <c r="E25" s="21"/>
      <c r="F25" s="43" t="e">
        <f>B22</f>
        <v>#VALUE!</v>
      </c>
      <c r="G25" s="43"/>
    </row>
    <row r="26" ht="21.75" customHeight="1" spans="1:13">
      <c r="A26" s="44" t="s">
        <v>55</v>
      </c>
      <c r="B26" s="45"/>
      <c r="C26" s="7"/>
      <c r="D26" s="20" t="s">
        <v>56</v>
      </c>
      <c r="E26" s="21"/>
      <c r="F26" s="46" t="s">
        <v>57</v>
      </c>
      <c r="G26" s="46"/>
    </row>
    <row r="27" ht="16.5" customHeight="1" spans="1:13">
      <c r="A27" s="44"/>
      <c r="B27" s="47"/>
      <c r="C27" s="7"/>
      <c r="D27" s="48" t="s">
        <v>58</v>
      </c>
      <c r="E27" s="49"/>
      <c r="F27" s="46" t="e">
        <f>B10*10%</f>
        <v>#VALUE!</v>
      </c>
      <c r="G27" s="46"/>
    </row>
    <row r="28" ht="15.75" customHeight="1" spans="1:13">
      <c r="A28" s="50" t="s">
        <v>59</v>
      </c>
      <c r="B28" s="51" t="e">
        <f>B22-B25+B26</f>
        <v>#VALUE!</v>
      </c>
      <c r="C28" s="7"/>
      <c r="D28" s="48" t="s">
        <v>60</v>
      </c>
      <c r="E28" s="49"/>
      <c r="F28" s="46" t="e">
        <f>B9*1.3%</f>
        <v>#VALUE!</v>
      </c>
      <c r="G28" s="46"/>
    </row>
    <row r="29" ht="18.75" spans="1:13">
      <c r="A29" s="50"/>
      <c r="B29" s="51"/>
      <c r="C29" s="7"/>
      <c r="D29" s="52" t="s">
        <v>59</v>
      </c>
      <c r="E29" s="53"/>
      <c r="F29" s="54" t="e">
        <f>F25-F26+F27+F28</f>
        <v>#VALUE!</v>
      </c>
      <c r="G29" s="54"/>
    </row>
    <row r="30" ht="18.75" spans="1:13">
      <c r="A30" s="22" t="s">
        <v>61</v>
      </c>
      <c r="B30" s="23"/>
      <c r="C30" s="7"/>
      <c r="D30" s="42" t="s">
        <v>62</v>
      </c>
      <c r="E30" s="22"/>
      <c r="F30" s="22"/>
      <c r="G30" s="22"/>
    </row>
    <row r="31" ht="22.5" customHeight="1" spans="1:13">
      <c r="A31" s="55"/>
      <c r="B31" s="56"/>
      <c r="C31" s="7"/>
      <c r="D31" s="57" t="s">
        <v>63</v>
      </c>
      <c r="E31" s="55" t="s">
        <v>64</v>
      </c>
      <c r="F31" s="55" t="s">
        <v>65</v>
      </c>
      <c r="G31" s="58" t="e">
        <f>F26/F31</f>
        <v>#VALUE!</v>
      </c>
    </row>
    <row r="32" ht="28" customHeight="1" spans="1:13">
      <c r="A32" s="55"/>
      <c r="B32" s="56"/>
      <c r="C32" s="7"/>
      <c r="D32" s="57" t="s">
        <v>66</v>
      </c>
      <c r="E32" s="59" t="s">
        <v>67</v>
      </c>
      <c r="F32" s="59" t="e">
        <f>E32/12</f>
        <v>#VALUE!</v>
      </c>
      <c r="G32" s="58" t="e">
        <f>F32*F26</f>
        <v>#VALUE!</v>
      </c>
    </row>
    <row r="33" ht="18.75" spans="1:7">
      <c r="A33" s="55"/>
      <c r="B33" s="56"/>
      <c r="C33" s="7"/>
      <c r="D33" s="60" t="s">
        <v>68</v>
      </c>
      <c r="E33" s="15"/>
      <c r="F33" s="15"/>
      <c r="G33" s="61" t="e">
        <f>G31+G32</f>
        <v>#VALUE!</v>
      </c>
    </row>
    <row r="34" ht="40" customHeight="1" spans="1:7">
      <c r="A34" s="55"/>
      <c r="B34" s="56"/>
      <c r="C34" s="7"/>
      <c r="D34" s="62" t="s">
        <v>69</v>
      </c>
      <c r="E34" s="63"/>
      <c r="F34" s="63"/>
      <c r="G34" s="63"/>
    </row>
    <row r="35" ht="18.75" customHeight="1" spans="1:7">
      <c r="A35" s="64"/>
      <c r="B35" s="65"/>
      <c r="C35" s="7"/>
      <c r="D35" s="66"/>
      <c r="E35" s="67"/>
      <c r="F35" s="67"/>
      <c r="G35" s="67"/>
    </row>
    <row r="36" ht="20" customHeight="1" spans="1:7">
      <c r="A36" s="68" t="s">
        <v>70</v>
      </c>
      <c r="B36" s="68"/>
      <c r="C36" s="69"/>
      <c r="D36" s="68"/>
      <c r="E36" s="68"/>
      <c r="F36" s="68"/>
      <c r="G36" s="68"/>
    </row>
    <row r="37" ht="42" customHeight="1" spans="1:7">
      <c r="A37" s="70" t="s">
        <v>71</v>
      </c>
      <c r="B37" s="71"/>
      <c r="C37" s="72"/>
      <c r="D37" s="73" t="s">
        <v>72</v>
      </c>
      <c r="E37" s="70"/>
      <c r="F37" s="70"/>
      <c r="G37" s="70"/>
    </row>
    <row r="38" ht="43" customHeight="1" spans="1:7">
      <c r="A38" s="15"/>
      <c r="B38" s="74"/>
      <c r="C38" s="7"/>
      <c r="D38" s="75"/>
      <c r="E38" s="76"/>
      <c r="F38" s="76"/>
      <c r="G38" s="76"/>
    </row>
    <row r="39" ht="18.75" spans="1:7">
      <c r="A39" s="15"/>
      <c r="B39" s="74"/>
      <c r="C39" s="7"/>
      <c r="D39" s="75"/>
      <c r="E39" s="76"/>
      <c r="F39" s="76"/>
      <c r="G39" s="76"/>
    </row>
  </sheetData>
  <mergeCells count="55">
    <mergeCell ref="A6:G6"/>
    <mergeCell ref="A7:C7"/>
    <mergeCell ref="D7:E7"/>
    <mergeCell ref="F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A24:B24"/>
    <mergeCell ref="D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A30:B30"/>
    <mergeCell ref="D30:G30"/>
    <mergeCell ref="D33:F33"/>
    <mergeCell ref="A36:G36"/>
    <mergeCell ref="A37:B37"/>
    <mergeCell ref="D37:G37"/>
    <mergeCell ref="A28:A29"/>
    <mergeCell ref="B28:B29"/>
    <mergeCell ref="A3:G5"/>
    <mergeCell ref="A31:B35"/>
    <mergeCell ref="D34:G35"/>
    <mergeCell ref="A38:B39"/>
    <mergeCell ref="D38:G39"/>
  </mergeCells>
  <dataValidations count="8">
    <dataValidation type="list" allowBlank="1" showErrorMessage="1" sqref="B8">
      <formula1>[1]!$G$4:$G$20</formula1>
    </dataValidation>
    <dataValidation type="list" allowBlank="1" showErrorMessage="1" sqref="E9">
      <formula1>'[1]#REF'!$J$4:$J$15</formula1>
    </dataValidation>
    <dataValidation type="list" allowBlank="1" showErrorMessage="1" sqref="G9">
      <formula1>'[1]#REF'!$L$4:$L$14</formula1>
    </dataValidation>
    <dataValidation type="list" allowBlank="1" showErrorMessage="1" sqref="B14">
      <formula1>'[1]#REF'!$E$5:$E$8</formula1>
    </dataValidation>
    <dataValidation type="list" allowBlank="1" showErrorMessage="1" sqref="B16">
      <formula1>'[1]#REF'!$E$11:$E$14</formula1>
    </dataValidation>
    <dataValidation type="list" allowBlank="1" showErrorMessage="1" sqref="B17">
      <formula1>'[1]#REF'!$E$16:$E$18</formula1>
    </dataValidation>
    <dataValidation type="list" allowBlank="1" showErrorMessage="1" sqref="E31">
      <formula1>[1]!$A$5:$A$12</formula1>
    </dataValidation>
    <dataValidation type="list" allowBlank="1" showErrorMessage="1" sqref="F31">
      <formula1>[1]!$B$5:$B$12</formula1>
    </dataValidation>
  </dataValidations>
  <pageMargins left="0.7" right="0.7" top="0.75" bottom="0.75" header="0.511811023622047" footer="0.511811023622047"/>
  <pageSetup paperSize="9" scale="76" orientation="portrait" useFirstPageNumber="1" horizontalDpi="300" verticalDpi="300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Xpander 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2022-11-22T02:23:00Z</dcterms:created>
  <dcterms:modified xsi:type="dcterms:W3CDTF">2026-09-07T09:45:17Z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BAF4CA1AE4E446BBA0032CDBD85B6B31_12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